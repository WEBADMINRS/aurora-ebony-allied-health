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wner\Downloads\RS Templates\To send\"/>
    </mc:Choice>
  </mc:AlternateContent>
  <xr:revisionPtr revIDLastSave="0" documentId="8_{E27940DB-5173-4582-AD1F-9D8CC1DA599C}" xr6:coauthVersionLast="47" xr6:coauthVersionMax="47" xr10:uidLastSave="{00000000-0000-0000-0000-000000000000}"/>
  <bookViews>
    <workbookView xWindow="-120" yWindow="-120" windowWidth="29040" windowHeight="15990" tabRatio="500" xr2:uid="{00000000-000D-0000-FFFF-FFFF00000000}"/>
  </bookViews>
  <sheets>
    <sheet name="Instructions" sheetId="1" r:id="rId1"/>
    <sheet name="Gap Analysis" sheetId="2" r:id="rId2"/>
    <sheet name="Summary" sheetId="3" r:id="rId3"/>
    <sheet name="Corrective Action Plan" sheetId="4" r:id="rId4"/>
    <sheet name="Evidence Register"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9" i="3" l="1"/>
  <c r="B8" i="3"/>
  <c r="B7" i="3"/>
  <c r="B6" i="3"/>
  <c r="B5" i="3"/>
  <c r="B12" i="3" s="1"/>
  <c r="B10" i="3" l="1"/>
</calcChain>
</file>

<file path=xl/sharedStrings.xml><?xml version="1.0" encoding="utf-8"?>
<sst xmlns="http://schemas.openxmlformats.org/spreadsheetml/2006/main" count="247" uniqueCount="184">
  <si>
    <t>NDIS Core Module — Gap Analysis &amp; Corrective Action Toolkit</t>
  </si>
  <si>
    <t>Prepared by Ainim Support Services — NDIS Compliance Consulting  |  Companion to POL-CORE-001</t>
  </si>
  <si>
    <t>Purpose</t>
  </si>
  <si>
    <t>How to use</t>
  </si>
  <si>
    <t>1.  Work through the 'Gap Analysis' tab. For each standard, read what the auditor looks for, rate current conformance, and note the evidence you actually sighted.</t>
  </si>
  <si>
    <t>2.  Where a gap exists, describe it and the action needed. Copy each action into the 'Corrective Action Plan' tab and assign an owner and due date.</t>
  </si>
  <si>
    <t>3.  Use the 'Evidence Register' tab to confirm each required document exists and record where it is filed.</t>
  </si>
  <si>
    <t>4.  The 'Summary' tab tallies conformance automatically as you rate each standard.</t>
  </si>
  <si>
    <t>Who completes it</t>
  </si>
  <si>
    <t>Cells you fill in</t>
  </si>
  <si>
    <t>Shaded (yellow) cells are for input. Drop-down cells accept only the listed values.</t>
  </si>
  <si>
    <t>Rating legend</t>
  </si>
  <si>
    <t>Conformant</t>
  </si>
  <si>
    <t>Policy and practice meet the standard; evidence sighted.</t>
  </si>
  <si>
    <t>Minor gap</t>
  </si>
  <si>
    <t>Largely met; small improvements or missing evidence to address.</t>
  </si>
  <si>
    <t>Major gap</t>
  </si>
  <si>
    <t>Significant shortfall in policy, practice or evidence; would attract a non-conformity.</t>
  </si>
  <si>
    <t>Not started</t>
  </si>
  <si>
    <t>No policy, practice or evidence yet in place.</t>
  </si>
  <si>
    <t>Not applicable</t>
  </si>
  <si>
    <t>Worked example (Gap Analysis row)</t>
  </si>
  <si>
    <t>Ref</t>
  </si>
  <si>
    <t>Rating</t>
  </si>
  <si>
    <t>Current arrangements / evidence sighted</t>
  </si>
  <si>
    <t>Gap identified</t>
  </si>
  <si>
    <t>Action required</t>
  </si>
  <si>
    <t>Priority</t>
  </si>
  <si>
    <t>Owner</t>
  </si>
  <si>
    <t>Target date</t>
  </si>
  <si>
    <t>Status</t>
  </si>
  <si>
    <t>2.6</t>
  </si>
  <si>
    <t>Incident form exists; register maintained.</t>
  </si>
  <si>
    <t>No reportable-incident timeframes documented; staff unclear on 24hr/5-day rules.</t>
  </si>
  <si>
    <t>Add reportable-incident procedure; brief all staff.</t>
  </si>
  <si>
    <t>High</t>
  </si>
  <si>
    <t>A. Anderson</t>
  </si>
  <si>
    <t>30/08/2026</t>
  </si>
  <si>
    <t>In progress</t>
  </si>
  <si>
    <t>Core Module — Gap Analysis</t>
  </si>
  <si>
    <t>Core Module standard</t>
  </si>
  <si>
    <t>What the auditor looks for</t>
  </si>
  <si>
    <t>Conformance rating</t>
  </si>
  <si>
    <t>Action required to close gap</t>
  </si>
  <si>
    <t>Responsible</t>
  </si>
  <si>
    <t>Part 1 — Rights and Responsibilities of Participants</t>
  </si>
  <si>
    <t>1.1</t>
  </si>
  <si>
    <t>Person-centred supports</t>
  </si>
  <si>
    <t>Support plans built from participant goals; choice reflected in rostering; communication-needs records; interpreter use.</t>
  </si>
  <si>
    <t>1.2</t>
  </si>
  <si>
    <t>Individual values and beliefs</t>
  </si>
  <si>
    <t>Intake records of cultural/identity/dietary needs; plans reflecting them; staff-matching notes; cultural-safety training.</t>
  </si>
  <si>
    <t>1.3</t>
  </si>
  <si>
    <t>Privacy and dignity</t>
  </si>
  <si>
    <t>Privacy &amp; consent forms; access controls; consent-to-share records; breach records; collection notice.</t>
  </si>
  <si>
    <t>1.4</t>
  </si>
  <si>
    <t>Independence and informed choice</t>
  </si>
  <si>
    <t>Options/referral info given to participants; capacity-building goals; conflict-of-interest register; supported-decision notes.</t>
  </si>
  <si>
    <t>1.5</t>
  </si>
  <si>
    <t>Violence, abuse, neglect, exploitation &amp; discrimination</t>
  </si>
  <si>
    <t>Screening &amp; induction records; incident register; reportable-incident notifications; safeguarding notes.</t>
  </si>
  <si>
    <t>Part 2 — Provider Governance and Operational Management</t>
  </si>
  <si>
    <t>2.1</t>
  </si>
  <si>
    <t>Governance and operational management</t>
  </si>
  <si>
    <t>Org chart; delegation schedule; business &amp; financial plans; insurance certificates; governance meeting records.</t>
  </si>
  <si>
    <t>2.2</t>
  </si>
  <si>
    <t>Risk management</t>
  </si>
  <si>
    <t>Risk register; participant risk assessments; WHS records; controls-review notes.</t>
  </si>
  <si>
    <t>2.3</t>
  </si>
  <si>
    <t>Quality management</t>
  </si>
  <si>
    <t>Continuous improvement register; policy review schedule; internal audit &amp; corrective-action records.</t>
  </si>
  <si>
    <t>2.4</t>
  </si>
  <si>
    <t>Information management</t>
  </si>
  <si>
    <t>Access controls; backup logs; retention/destruction schedule; confidentiality agreements.</t>
  </si>
  <si>
    <t>2.5</t>
  </si>
  <si>
    <t>Feedback and complaints management</t>
  </si>
  <si>
    <t>Complaints &amp; feedback register; how-to-complain information; resolution records; improvement actions.</t>
  </si>
  <si>
    <t>Incident management</t>
  </si>
  <si>
    <t>Incident register; reportable-incident notifications; investigation &amp; corrective-action records.</t>
  </si>
  <si>
    <t>2.7</t>
  </si>
  <si>
    <t>Human resource management</t>
  </si>
  <si>
    <t>Screening/clearance register; induction &amp; training records; position descriptions; supervision &amp; appraisal records.</t>
  </si>
  <si>
    <t>2.8</t>
  </si>
  <si>
    <t>Continuity of supports</t>
  </si>
  <si>
    <t>Business continuity &amp; emergency plan; participant critical-support lists; backup rostering records.</t>
  </si>
  <si>
    <t>Part 3 — Provision of Supports</t>
  </si>
  <si>
    <t>3.1</t>
  </si>
  <si>
    <t>Access to supports</t>
  </si>
  <si>
    <t>Intake/welcome pack; referral &amp; eligibility records; waitlist/capacity records.</t>
  </si>
  <si>
    <t>3.2</t>
  </si>
  <si>
    <t>Support planning</t>
  </si>
  <si>
    <t>Support plans; review records; participant sign-off; risk strategies within plans.</t>
  </si>
  <si>
    <t>3.3</t>
  </si>
  <si>
    <t>Service agreements with participants</t>
  </si>
  <si>
    <t>Signed service agreements; schedules of support; accessible-explanation evidence; current PAPL pricing references.</t>
  </si>
  <si>
    <t>3.4</t>
  </si>
  <si>
    <t>Responsive support provision</t>
  </si>
  <si>
    <t>Rosters &amp; worker-matching; progress/file notes; escalation records; coordination records with other providers.</t>
  </si>
  <si>
    <t>3.5</t>
  </si>
  <si>
    <t>Transitions to or from the provider</t>
  </si>
  <si>
    <t>Onboarding &amp; exit records; handover/information-transfer records; consent to transfer; notice correspondence.</t>
  </si>
  <si>
    <t>Part 4 — Support Provision Environment</t>
  </si>
  <si>
    <t>4.1</t>
  </si>
  <si>
    <t>Safe environment</t>
  </si>
  <si>
    <t>Environment/home safety assessments; hazard &amp; WHS records; emergency procedures; vehicle &amp; licence records.</t>
  </si>
  <si>
    <t>4.2</t>
  </si>
  <si>
    <t>Participant money and property</t>
  </si>
  <si>
    <t>POL-MP-001: participant authorities; transaction logs; receipt records; reconciliation &amp; audit records.</t>
  </si>
  <si>
    <t>4.3</t>
  </si>
  <si>
    <t>Management of medication</t>
  </si>
  <si>
    <t>Medication charts/records; training &amp; competency records; medication-incident records; storage checks. Mark N/A if not delivered.</t>
  </si>
  <si>
    <t>4.4</t>
  </si>
  <si>
    <t>Management of waste</t>
  </si>
  <si>
    <t>Waste-handling procedure; disposal contractor records; training &amp; PPE records; exposure-incident records. Mark N/A if not delivered.</t>
  </si>
  <si>
    <t>Core Module — Conformance Summary</t>
  </si>
  <si>
    <t>Updates automatically as you rate each standard in the Gap Analysis tab.</t>
  </si>
  <si>
    <t>Count</t>
  </si>
  <si>
    <t>Total standards assessed</t>
  </si>
  <si>
    <t>Conformant (% of applicable)</t>
  </si>
  <si>
    <t>Corrective Action Plan</t>
  </si>
  <si>
    <t>One row per action drawn from the Gap Analysis. Track each to closure.</t>
  </si>
  <si>
    <t>Action ID</t>
  </si>
  <si>
    <t>Standard ref</t>
  </si>
  <si>
    <t>Action to close gap</t>
  </si>
  <si>
    <t>Date completed</t>
  </si>
  <si>
    <t>Evidence / notes</t>
  </si>
  <si>
    <t>CA-001</t>
  </si>
  <si>
    <t>CA-002</t>
  </si>
  <si>
    <t>CA-003</t>
  </si>
  <si>
    <t>CA-004</t>
  </si>
  <si>
    <t>CA-005</t>
  </si>
  <si>
    <t>CA-006</t>
  </si>
  <si>
    <t>CA-007</t>
  </si>
  <si>
    <t>CA-008</t>
  </si>
  <si>
    <t>CA-009</t>
  </si>
  <si>
    <t>CA-010</t>
  </si>
  <si>
    <t>CA-011</t>
  </si>
  <si>
    <t>CA-012</t>
  </si>
  <si>
    <t>CA-013</t>
  </si>
  <si>
    <t>CA-014</t>
  </si>
  <si>
    <t>CA-015</t>
  </si>
  <si>
    <t>CA-016</t>
  </si>
  <si>
    <t>CA-017</t>
  </si>
  <si>
    <t>CA-018</t>
  </si>
  <si>
    <t>CA-019</t>
  </si>
  <si>
    <t>CA-020</t>
  </si>
  <si>
    <t>CA-021</t>
  </si>
  <si>
    <t>CA-022</t>
  </si>
  <si>
    <t>CA-023</t>
  </si>
  <si>
    <t>CA-024</t>
  </si>
  <si>
    <t>CA-025</t>
  </si>
  <si>
    <t>Evidence Register</t>
  </si>
  <si>
    <t>Confirm each required document exists and record where it is filed. This is what the auditor asks to see.</t>
  </si>
  <si>
    <t>Standard</t>
  </si>
  <si>
    <t>Required document / record</t>
  </si>
  <si>
    <t>Exists?</t>
  </si>
  <si>
    <t>Location / file reference</t>
  </si>
  <si>
    <t>Last reviewed</t>
  </si>
  <si>
    <t>Participant support plans</t>
  </si>
  <si>
    <t>Intake record of cultural/identity/dietary needs</t>
  </si>
  <si>
    <t>Privacy, consent &amp; collection notice</t>
  </si>
  <si>
    <t>Conflict-of-interest register; options info</t>
  </si>
  <si>
    <t>Incident register; worker screening records</t>
  </si>
  <si>
    <t>Org chart, delegation schedule, insurances</t>
  </si>
  <si>
    <t>Risk register</t>
  </si>
  <si>
    <t>Continuous improvement register; policy review schedule</t>
  </si>
  <si>
    <t>Information mgmt / retention schedule; confidentiality agreements</t>
  </si>
  <si>
    <t>Complaints &amp; feedback register</t>
  </si>
  <si>
    <t>Incident register; reportable-incident records</t>
  </si>
  <si>
    <t>Screening, induction &amp; training records</t>
  </si>
  <si>
    <t>Business continuity &amp; emergency plan</t>
  </si>
  <si>
    <t>Intake / welcome pack</t>
  </si>
  <si>
    <t>Support plan template</t>
  </si>
  <si>
    <t>Service agreement template</t>
  </si>
  <si>
    <t>Progress / file notes; rosters</t>
  </si>
  <si>
    <t>Onboarding / exit &amp; handover records</t>
  </si>
  <si>
    <t>Home / environment safety checklist</t>
  </si>
  <si>
    <t>POL-MP-001 authorities &amp; transaction logs</t>
  </si>
  <si>
    <t>Medication charts (if applicable)</t>
  </si>
  <si>
    <t>Waste handling records (if applicable)</t>
  </si>
  <si>
    <t>RS Assurance Group</t>
  </si>
  <si>
    <t>This workbook measures RS Assurance Group's readiness against the four Core Module standards of the NDIS Practice Standards, records the gaps, and tracks the actions that close them. Work it alongside the Core Module Policy and Procedure Manual (POL-CORE-001).</t>
  </si>
  <si>
    <t>The consultant leads the assessment with RS Assurance Group's nominated contact. Ratings should reflect evidence sighted, not intentions.</t>
  </si>
  <si>
    <t>RS Assurance Group does not deliver the supports this standard covers; justification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</si>
</sst>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1"/>
      <color rgb="FF595959"/>
      <name val="Arial"/>
      <charset val="1"/>
    </font>
    <font>
      <b/>
      <sz val="16"/>
      <color rgb="FF1F3864"/>
      <name val="Arial"/>
      <charset val="1"/>
    </font>
    <font>
      <sz val="11"/>
      <color rgb="FF595959"/>
      <name val="Arial"/>
      <charset val="1"/>
    </font>
    <font>
      <b/>
      <sz val="10"/>
      <name val="Arial"/>
      <charset val="1"/>
    </font>
    <font>
      <sz val="10"/>
      <name val="Arial"/>
      <charset val="1"/>
    </font>
    <font>
      <b/>
      <sz val="11"/>
      <color rgb="FF1F3864"/>
      <name val="Arial"/>
      <charset val="1"/>
    </font>
    <font>
      <b/>
      <sz val="10"/>
      <color rgb="FFFFFFFF"/>
      <name val="Arial"/>
      <charset val="1"/>
    </font>
    <font>
      <i/>
      <sz val="9"/>
      <name val="Arial"/>
      <charset val="1"/>
    </font>
  </fonts>
  <fills count="6">
    <fill>
      <patternFill patternType="none"/>
    </fill>
    <fill>
      <patternFill patternType="gray125"/>
    </fill>
    <fill>
      <patternFill patternType="solid">
        <fgColor rgb="FFFFF2CC"/>
        <bgColor rgb="FFFFFFFF"/>
      </patternFill>
    </fill>
    <fill>
      <patternFill patternType="solid">
        <fgColor rgb="FF1F3864"/>
        <bgColor rgb="FF333333"/>
      </patternFill>
    </fill>
    <fill>
      <patternFill patternType="solid">
        <fgColor rgb="FF3A5A8C"/>
        <bgColor rgb="FF595959"/>
      </patternFill>
    </fill>
    <fill>
      <patternFill patternType="solid">
        <fgColor rgb="FFDDAC51"/>
        <bgColor rgb="FF333333"/>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23">
    <xf numFmtId="0" fontId="0" fillId="0" borderId="0" xfId="0"/>
    <xf numFmtId="0" fontId="7" fillId="4" borderId="2" xfId="0" applyFont="1" applyFill="1" applyBorder="1" applyAlignment="1">
      <alignment horizontal="left" vertical="center"/>
    </xf>
    <xf numFmtId="0" fontId="2" fillId="0" borderId="0" xfId="0" applyFont="1"/>
    <xf numFmtId="0" fontId="1" fillId="0" borderId="0" xfId="0" applyFont="1"/>
    <xf numFmtId="0" fontId="2" fillId="0" borderId="0" xfId="0" applyFont="1"/>
    <xf numFmtId="0" fontId="3" fillId="0" borderId="0" xfId="0" applyFont="1"/>
    <xf numFmtId="0" fontId="4" fillId="0" borderId="0" xfId="0" applyFont="1" applyAlignment="1">
      <alignment vertical="top"/>
    </xf>
    <xf numFmtId="0" fontId="5" fillId="0" borderId="0" xfId="0" applyFont="1" applyAlignment="1">
      <alignment vertical="top" wrapText="1"/>
    </xf>
    <xf numFmtId="0" fontId="6" fillId="0" borderId="0" xfId="0" applyFont="1"/>
    <xf numFmtId="0" fontId="4" fillId="2" borderId="1" xfId="0" applyFont="1" applyFill="1" applyBorder="1"/>
    <xf numFmtId="0" fontId="5" fillId="0" borderId="1" xfId="0" applyFont="1" applyBorder="1" applyAlignment="1">
      <alignment vertical="top" wrapText="1"/>
    </xf>
    <xf numFmtId="0" fontId="7" fillId="3" borderId="1" xfId="0" applyFont="1" applyFill="1" applyBorder="1" applyAlignment="1">
      <alignment horizontal="center" vertical="center" wrapText="1"/>
    </xf>
    <xf numFmtId="0" fontId="8" fillId="0" borderId="1" xfId="0" applyFont="1" applyBorder="1" applyAlignment="1">
      <alignment vertical="top" wrapText="1"/>
    </xf>
    <xf numFmtId="0" fontId="4" fillId="0" borderId="1" xfId="0" applyFont="1" applyBorder="1" applyAlignment="1">
      <alignment vertical="top" wrapText="1"/>
    </xf>
    <xf numFmtId="0" fontId="0" fillId="2" borderId="1" xfId="0" applyFill="1" applyBorder="1" applyAlignment="1">
      <alignment vertical="top" wrapText="1"/>
    </xf>
    <xf numFmtId="0" fontId="7" fillId="3" borderId="1" xfId="0" applyFont="1" applyFill="1" applyBorder="1"/>
    <xf numFmtId="0" fontId="5" fillId="0" borderId="1" xfId="0" applyFont="1" applyBorder="1"/>
    <xf numFmtId="0" fontId="5" fillId="0" borderId="1" xfId="0" applyFont="1" applyBorder="1" applyAlignment="1">
      <alignment horizontal="center"/>
    </xf>
    <xf numFmtId="0" fontId="4" fillId="0" borderId="1" xfId="0" applyFont="1" applyBorder="1"/>
    <xf numFmtId="0" fontId="4" fillId="0" borderId="1" xfId="0" applyFont="1" applyBorder="1" applyAlignment="1">
      <alignment horizontal="center"/>
    </xf>
    <xf numFmtId="0" fontId="4" fillId="0" borderId="0" xfId="0" applyFont="1"/>
    <xf numFmtId="164" fontId="4" fillId="0" borderId="0" xfId="0" applyNumberFormat="1" applyFont="1" applyAlignment="1">
      <alignment horizontal="center"/>
    </xf>
    <xf numFmtId="0" fontId="7"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A5A8C"/>
      <rgbColor rgb="FF333333"/>
      <rgbColor rgb="00003366"/>
      <rgbColor rgb="00339966"/>
      <rgbColor rgb="00003300"/>
      <rgbColor rgb="00333300"/>
      <rgbColor rgb="00993300"/>
      <rgbColor rgb="00993366"/>
      <rgbColor rgb="00333399"/>
      <rgbColor rgb="00333333"/>
    </indexedColors>
    <mruColors>
      <color rgb="FFDDAC51"/>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Conformance by rating</a:t>
            </a:r>
          </a:p>
        </c:rich>
      </c:tx>
      <c:overlay val="0"/>
      <c:spPr>
        <a:noFill/>
        <a:ln w="0">
          <a:noFill/>
        </a:ln>
      </c:spPr>
    </c:title>
    <c:autoTitleDeleted val="0"/>
    <c:plotArea>
      <c:layout/>
      <c:barChart>
        <c:barDir val="col"/>
        <c:grouping val="clustered"/>
        <c:varyColors val="0"/>
        <c:ser>
          <c:idx val="0"/>
          <c:order val="0"/>
          <c:tx>
            <c:strRef>
              <c:f>Summary!$B$4</c:f>
              <c:strCache>
                <c:ptCount val="1"/>
                <c:pt idx="0">
                  <c:v>Count</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Summary!$A$5:$A$9</c:f>
              <c:strCache>
                <c:ptCount val="5"/>
                <c:pt idx="0">
                  <c:v>Conformant</c:v>
                </c:pt>
                <c:pt idx="1">
                  <c:v>Minor gap</c:v>
                </c:pt>
                <c:pt idx="2">
                  <c:v>Major gap</c:v>
                </c:pt>
                <c:pt idx="3">
                  <c:v>Not started</c:v>
                </c:pt>
                <c:pt idx="4">
                  <c:v>Not applicable</c:v>
                </c:pt>
              </c:strCache>
            </c:strRef>
          </c:cat>
          <c:val>
            <c:numRef>
              <c:f>Summary!$B$5:$B$9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0822-41FE-87A7-14A8C6D7F922}"/>
            </c:ext>
          </c:extLst>
        </c:ser>
        <c:dLbls>
          <c:showLegendKey val="0"/>
          <c:showVal val="0"/>
          <c:showCatName val="0"/>
          <c:showSerName val="0"/>
          <c:showPercent val="0"/>
          <c:showBubbleSize val="0"/>
        </c:dLbls>
        <c:gapWidth val="150"/>
        <c:axId val="32249812"/>
        <c:axId val="82640420"/>
      </c:barChart>
      <c:catAx>
        <c:axId val="322498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640420"/>
        <c:crosses val="autoZero"/>
        <c:auto val="1"/>
        <c:lblAlgn val="ctr"/>
        <c:lblOffset val="100"/>
        <c:noMultiLvlLbl val="0"/>
      </c:catAx>
      <c:valAx>
        <c:axId val="8264042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224981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131040</xdr:rowOff>
    </xdr:from>
    <xdr:to>
      <xdr:col>11</xdr:col>
      <xdr:colOff>147600</xdr:colOff>
      <xdr:row>15</xdr:row>
      <xdr:rowOff>174240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showGridLines="0" tabSelected="1" zoomScaleNormal="100" workbookViewId="0">
      <selection activeCell="E13" sqref="E13"/>
    </sheetView>
  </sheetViews>
  <sheetFormatPr defaultColWidth="8.7109375" defaultRowHeight="15" x14ac:dyDescent="0.25"/>
  <cols>
    <col min="1" max="1" width="20" customWidth="1"/>
    <col min="2" max="2" width="70" customWidth="1"/>
    <col min="3" max="9" width="16" customWidth="1"/>
  </cols>
  <sheetData>
    <row r="1" spans="1:2" x14ac:dyDescent="0.25">
      <c r="A1" s="3" t="s">
        <v>180</v>
      </c>
    </row>
    <row r="2" spans="1:2" ht="20.25" x14ac:dyDescent="0.3">
      <c r="A2" s="4" t="s">
        <v>0</v>
      </c>
    </row>
    <row r="3" spans="1:2" x14ac:dyDescent="0.25">
      <c r="A3" s="5" t="s">
        <v>1</v>
      </c>
    </row>
    <row r="5" spans="1:2" x14ac:dyDescent="0.25">
      <c r="A5" s="6"/>
      <c r="B5" s="7"/>
    </row>
    <row r="6" spans="1:2" ht="51" x14ac:dyDescent="0.25">
      <c r="A6" s="6" t="s">
        <v>2</v>
      </c>
      <c r="B6" s="7" t="s">
        <v>181</v>
      </c>
    </row>
    <row r="7" spans="1:2" ht="25.5" x14ac:dyDescent="0.25">
      <c r="A7" s="6" t="s">
        <v>3</v>
      </c>
      <c r="B7" s="7" t="s">
        <v>4</v>
      </c>
    </row>
    <row r="8" spans="1:2" ht="25.5" x14ac:dyDescent="0.25">
      <c r="A8" s="6"/>
      <c r="B8" s="7" t="s">
        <v>5</v>
      </c>
    </row>
    <row r="9" spans="1:2" ht="25.5" x14ac:dyDescent="0.25">
      <c r="A9" s="6"/>
      <c r="B9" s="7" t="s">
        <v>6</v>
      </c>
    </row>
    <row r="10" spans="1:2" ht="25.5" x14ac:dyDescent="0.25">
      <c r="A10" s="6"/>
      <c r="B10" s="7" t="s">
        <v>7</v>
      </c>
    </row>
    <row r="11" spans="1:2" ht="25.5" x14ac:dyDescent="0.25">
      <c r="A11" s="6" t="s">
        <v>8</v>
      </c>
      <c r="B11" s="7" t="s">
        <v>182</v>
      </c>
    </row>
    <row r="12" spans="1:2" x14ac:dyDescent="0.25">
      <c r="A12" s="6" t="s">
        <v>9</v>
      </c>
      <c r="B12" s="7" t="s">
        <v>10</v>
      </c>
    </row>
    <row r="14" spans="1:2" x14ac:dyDescent="0.25">
      <c r="A14" s="8" t="s">
        <v>11</v>
      </c>
    </row>
    <row r="15" spans="1:2" x14ac:dyDescent="0.25">
      <c r="A15" s="9" t="s">
        <v>12</v>
      </c>
      <c r="B15" s="10" t="s">
        <v>13</v>
      </c>
    </row>
    <row r="16" spans="1:2" x14ac:dyDescent="0.25">
      <c r="A16" s="9" t="s">
        <v>14</v>
      </c>
      <c r="B16" s="10" t="s">
        <v>15</v>
      </c>
    </row>
    <row r="17" spans="1:9" ht="25.5" x14ac:dyDescent="0.25">
      <c r="A17" s="9" t="s">
        <v>16</v>
      </c>
      <c r="B17" s="10" t="s">
        <v>17</v>
      </c>
    </row>
    <row r="18" spans="1:9" x14ac:dyDescent="0.25">
      <c r="A18" s="9" t="s">
        <v>18</v>
      </c>
      <c r="B18" s="10" t="s">
        <v>19</v>
      </c>
    </row>
    <row r="19" spans="1:9" x14ac:dyDescent="0.25">
      <c r="A19" s="9" t="s">
        <v>20</v>
      </c>
      <c r="B19" s="10" t="s">
        <v>183</v>
      </c>
    </row>
    <row r="21" spans="1:9" x14ac:dyDescent="0.25">
      <c r="A21" s="8" t="s">
        <v>21</v>
      </c>
    </row>
    <row r="22" spans="1:9" ht="51" x14ac:dyDescent="0.25">
      <c r="A22" s="22" t="s">
        <v>22</v>
      </c>
      <c r="B22" s="22" t="s">
        <v>23</v>
      </c>
      <c r="C22" s="22" t="s">
        <v>24</v>
      </c>
      <c r="D22" s="22" t="s">
        <v>25</v>
      </c>
      <c r="E22" s="22" t="s">
        <v>26</v>
      </c>
      <c r="F22" s="22" t="s">
        <v>27</v>
      </c>
      <c r="G22" s="22" t="s">
        <v>28</v>
      </c>
      <c r="H22" s="22" t="s">
        <v>29</v>
      </c>
      <c r="I22" s="22" t="s">
        <v>30</v>
      </c>
    </row>
    <row r="23" spans="1:9" ht="72" x14ac:dyDescent="0.25">
      <c r="A23" s="12" t="s">
        <v>31</v>
      </c>
      <c r="B23" s="12" t="s">
        <v>14</v>
      </c>
      <c r="C23" s="12" t="s">
        <v>32</v>
      </c>
      <c r="D23" s="12" t="s">
        <v>33</v>
      </c>
      <c r="E23" s="12" t="s">
        <v>34</v>
      </c>
      <c r="F23" s="12" t="s">
        <v>35</v>
      </c>
      <c r="G23" s="12" t="s">
        <v>36</v>
      </c>
      <c r="H23" s="12" t="s">
        <v>37</v>
      </c>
      <c r="I23" s="12" t="s">
        <v>38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defaultColWidth="8.7109375" defaultRowHeight="15" x14ac:dyDescent="0.25"/>
  <cols>
    <col min="1" max="1" width="6" customWidth="1"/>
    <col min="2" max="2" width="26" customWidth="1"/>
    <col min="3" max="3" width="40" customWidth="1"/>
    <col min="4" max="4" width="15" customWidth="1"/>
    <col min="5" max="5" width="30" customWidth="1"/>
    <col min="6" max="6" width="28" customWidth="1"/>
    <col min="7" max="7" width="30" customWidth="1"/>
    <col min="8" max="8" width="10" customWidth="1"/>
    <col min="9" max="9" width="16" customWidth="1"/>
    <col min="10" max="11" width="13" customWidth="1"/>
  </cols>
  <sheetData>
    <row r="1" spans="1:11" ht="20.25" x14ac:dyDescent="0.3">
      <c r="A1" s="2" t="s">
        <v>39</v>
      </c>
      <c r="B1" s="2"/>
      <c r="C1" s="2"/>
      <c r="D1" s="2"/>
      <c r="E1" s="2"/>
      <c r="F1" s="2"/>
      <c r="G1" s="2"/>
      <c r="H1" s="2"/>
      <c r="I1" s="2"/>
      <c r="J1" s="2"/>
      <c r="K1" s="2"/>
    </row>
    <row r="3" spans="1:11" ht="33.75" customHeight="1" x14ac:dyDescent="0.25">
      <c r="A3" s="11" t="s">
        <v>22</v>
      </c>
      <c r="B3" s="11" t="s">
        <v>40</v>
      </c>
      <c r="C3" s="11" t="s">
        <v>41</v>
      </c>
      <c r="D3" s="11" t="s">
        <v>42</v>
      </c>
      <c r="E3" s="11" t="s">
        <v>24</v>
      </c>
      <c r="F3" s="11" t="s">
        <v>25</v>
      </c>
      <c r="G3" s="11" t="s">
        <v>43</v>
      </c>
      <c r="H3" s="11" t="s">
        <v>27</v>
      </c>
      <c r="I3" s="11" t="s">
        <v>44</v>
      </c>
      <c r="J3" s="11" t="s">
        <v>29</v>
      </c>
      <c r="K3" s="11" t="s">
        <v>30</v>
      </c>
    </row>
    <row r="4" spans="1:11" ht="19.5" customHeight="1" x14ac:dyDescent="0.25">
      <c r="A4" s="1" t="s">
        <v>45</v>
      </c>
      <c r="B4" s="1"/>
      <c r="C4" s="1"/>
      <c r="D4" s="1"/>
      <c r="E4" s="1"/>
      <c r="F4" s="1"/>
      <c r="G4" s="1"/>
      <c r="H4" s="1"/>
      <c r="I4" s="1"/>
      <c r="J4" s="1"/>
      <c r="K4" s="1"/>
    </row>
    <row r="5" spans="1:11" ht="45.75" customHeight="1" x14ac:dyDescent="0.25">
      <c r="A5" s="13" t="s">
        <v>46</v>
      </c>
      <c r="B5" s="10" t="s">
        <v>47</v>
      </c>
      <c r="C5" s="10" t="s">
        <v>48</v>
      </c>
      <c r="D5" s="14"/>
      <c r="E5" s="14"/>
      <c r="F5" s="14"/>
      <c r="G5" s="14"/>
      <c r="H5" s="14"/>
      <c r="I5" s="14"/>
      <c r="J5" s="14"/>
      <c r="K5" s="14"/>
    </row>
    <row r="6" spans="1:11" ht="45.75" customHeight="1" x14ac:dyDescent="0.25">
      <c r="A6" s="13" t="s">
        <v>49</v>
      </c>
      <c r="B6" s="10" t="s">
        <v>50</v>
      </c>
      <c r="C6" s="10" t="s">
        <v>51</v>
      </c>
      <c r="D6" s="14"/>
      <c r="E6" s="14"/>
      <c r="F6" s="14"/>
      <c r="G6" s="14"/>
      <c r="H6" s="14"/>
      <c r="I6" s="14"/>
      <c r="J6" s="14"/>
      <c r="K6" s="14"/>
    </row>
    <row r="7" spans="1:11" ht="45.75" customHeight="1" x14ac:dyDescent="0.25">
      <c r="A7" s="13" t="s">
        <v>52</v>
      </c>
      <c r="B7" s="10" t="s">
        <v>53</v>
      </c>
      <c r="C7" s="10" t="s">
        <v>54</v>
      </c>
      <c r="D7" s="14"/>
      <c r="E7" s="14"/>
      <c r="F7" s="14"/>
      <c r="G7" s="14"/>
      <c r="H7" s="14"/>
      <c r="I7" s="14"/>
      <c r="J7" s="14"/>
      <c r="K7" s="14"/>
    </row>
    <row r="8" spans="1:11" ht="45.75" customHeight="1" x14ac:dyDescent="0.25">
      <c r="A8" s="13" t="s">
        <v>55</v>
      </c>
      <c r="B8" s="10" t="s">
        <v>56</v>
      </c>
      <c r="C8" s="10" t="s">
        <v>57</v>
      </c>
      <c r="D8" s="14"/>
      <c r="E8" s="14"/>
      <c r="F8" s="14"/>
      <c r="G8" s="14"/>
      <c r="H8" s="14"/>
      <c r="I8" s="14"/>
      <c r="J8" s="14"/>
      <c r="K8" s="14"/>
    </row>
    <row r="9" spans="1:11" ht="45.75" customHeight="1" x14ac:dyDescent="0.25">
      <c r="A9" s="13" t="s">
        <v>58</v>
      </c>
      <c r="B9" s="10" t="s">
        <v>59</v>
      </c>
      <c r="C9" s="10" t="s">
        <v>60</v>
      </c>
      <c r="D9" s="14"/>
      <c r="E9" s="14"/>
      <c r="F9" s="14"/>
      <c r="G9" s="14"/>
      <c r="H9" s="14"/>
      <c r="I9" s="14"/>
      <c r="J9" s="14"/>
      <c r="K9" s="14"/>
    </row>
    <row r="10" spans="1:11" ht="19.5" customHeight="1" x14ac:dyDescent="0.25">
      <c r="A10" s="1" t="s">
        <v>61</v>
      </c>
      <c r="B10" s="1"/>
      <c r="C10" s="1"/>
      <c r="D10" s="1"/>
      <c r="E10" s="1"/>
      <c r="F10" s="1"/>
      <c r="G10" s="1"/>
      <c r="H10" s="1"/>
      <c r="I10" s="1"/>
      <c r="J10" s="1"/>
      <c r="K10" s="1"/>
    </row>
    <row r="11" spans="1:11" ht="45.75" customHeight="1" x14ac:dyDescent="0.25">
      <c r="A11" s="13" t="s">
        <v>62</v>
      </c>
      <c r="B11" s="10" t="s">
        <v>63</v>
      </c>
      <c r="C11" s="10" t="s">
        <v>64</v>
      </c>
      <c r="D11" s="14"/>
      <c r="E11" s="14"/>
      <c r="F11" s="14"/>
      <c r="G11" s="14"/>
      <c r="H11" s="14"/>
      <c r="I11" s="14"/>
      <c r="J11" s="14"/>
      <c r="K11" s="14"/>
    </row>
    <row r="12" spans="1:11" ht="45.75" customHeight="1" x14ac:dyDescent="0.25">
      <c r="A12" s="13" t="s">
        <v>65</v>
      </c>
      <c r="B12" s="10" t="s">
        <v>66</v>
      </c>
      <c r="C12" s="10" t="s">
        <v>67</v>
      </c>
      <c r="D12" s="14"/>
      <c r="E12" s="14"/>
      <c r="F12" s="14"/>
      <c r="G12" s="14"/>
      <c r="H12" s="14"/>
      <c r="I12" s="14"/>
      <c r="J12" s="14"/>
      <c r="K12" s="14"/>
    </row>
    <row r="13" spans="1:11" ht="45.75" customHeight="1" x14ac:dyDescent="0.25">
      <c r="A13" s="13" t="s">
        <v>68</v>
      </c>
      <c r="B13" s="10" t="s">
        <v>69</v>
      </c>
      <c r="C13" s="10" t="s">
        <v>70</v>
      </c>
      <c r="D13" s="14"/>
      <c r="E13" s="14"/>
      <c r="F13" s="14"/>
      <c r="G13" s="14"/>
      <c r="H13" s="14"/>
      <c r="I13" s="14"/>
      <c r="J13" s="14"/>
      <c r="K13" s="14"/>
    </row>
    <row r="14" spans="1:11" ht="45.75" customHeight="1" x14ac:dyDescent="0.25">
      <c r="A14" s="13" t="s">
        <v>71</v>
      </c>
      <c r="B14" s="10" t="s">
        <v>72</v>
      </c>
      <c r="C14" s="10" t="s">
        <v>73</v>
      </c>
      <c r="D14" s="14"/>
      <c r="E14" s="14"/>
      <c r="F14" s="14"/>
      <c r="G14" s="14"/>
      <c r="H14" s="14"/>
      <c r="I14" s="14"/>
      <c r="J14" s="14"/>
      <c r="K14" s="14"/>
    </row>
    <row r="15" spans="1:11" ht="45.75" customHeight="1" x14ac:dyDescent="0.25">
      <c r="A15" s="13" t="s">
        <v>74</v>
      </c>
      <c r="B15" s="10" t="s">
        <v>75</v>
      </c>
      <c r="C15" s="10" t="s">
        <v>76</v>
      </c>
      <c r="D15" s="14"/>
      <c r="E15" s="14"/>
      <c r="F15" s="14"/>
      <c r="G15" s="14"/>
      <c r="H15" s="14"/>
      <c r="I15" s="14"/>
      <c r="J15" s="14"/>
      <c r="K15" s="14"/>
    </row>
    <row r="16" spans="1:11" ht="45.75" customHeight="1" x14ac:dyDescent="0.25">
      <c r="A16" s="13" t="s">
        <v>31</v>
      </c>
      <c r="B16" s="10" t="s">
        <v>77</v>
      </c>
      <c r="C16" s="10" t="s">
        <v>78</v>
      </c>
      <c r="D16" s="14"/>
      <c r="E16" s="14"/>
      <c r="F16" s="14"/>
      <c r="G16" s="14"/>
      <c r="H16" s="14"/>
      <c r="I16" s="14"/>
      <c r="J16" s="14"/>
      <c r="K16" s="14"/>
    </row>
    <row r="17" spans="1:11" ht="45.75" customHeight="1" x14ac:dyDescent="0.25">
      <c r="A17" s="13" t="s">
        <v>79</v>
      </c>
      <c r="B17" s="10" t="s">
        <v>80</v>
      </c>
      <c r="C17" s="10" t="s">
        <v>81</v>
      </c>
      <c r="D17" s="14"/>
      <c r="E17" s="14"/>
      <c r="F17" s="14"/>
      <c r="G17" s="14"/>
      <c r="H17" s="14"/>
      <c r="I17" s="14"/>
      <c r="J17" s="14"/>
      <c r="K17" s="14"/>
    </row>
    <row r="18" spans="1:11" ht="45.75" customHeight="1" x14ac:dyDescent="0.25">
      <c r="A18" s="13" t="s">
        <v>82</v>
      </c>
      <c r="B18" s="10" t="s">
        <v>83</v>
      </c>
      <c r="C18" s="10" t="s">
        <v>84</v>
      </c>
      <c r="D18" s="14"/>
      <c r="E18" s="14"/>
      <c r="F18" s="14"/>
      <c r="G18" s="14"/>
      <c r="H18" s="14"/>
      <c r="I18" s="14"/>
      <c r="J18" s="14"/>
      <c r="K18" s="14"/>
    </row>
    <row r="19" spans="1:11" ht="19.5" customHeight="1" x14ac:dyDescent="0.25">
      <c r="A19" s="1" t="s">
        <v>85</v>
      </c>
      <c r="B19" s="1"/>
      <c r="C19" s="1"/>
      <c r="D19" s="1"/>
      <c r="E19" s="1"/>
      <c r="F19" s="1"/>
      <c r="G19" s="1"/>
      <c r="H19" s="1"/>
      <c r="I19" s="1"/>
      <c r="J19" s="1"/>
      <c r="K19" s="1"/>
    </row>
    <row r="20" spans="1:11" ht="45.75" customHeight="1" x14ac:dyDescent="0.25">
      <c r="A20" s="13" t="s">
        <v>86</v>
      </c>
      <c r="B20" s="10" t="s">
        <v>87</v>
      </c>
      <c r="C20" s="10" t="s">
        <v>88</v>
      </c>
      <c r="D20" s="14"/>
      <c r="E20" s="14"/>
      <c r="F20" s="14"/>
      <c r="G20" s="14"/>
      <c r="H20" s="14"/>
      <c r="I20" s="14"/>
      <c r="J20" s="14"/>
      <c r="K20" s="14"/>
    </row>
    <row r="21" spans="1:11" ht="45.75" customHeight="1" x14ac:dyDescent="0.25">
      <c r="A21" s="13" t="s">
        <v>89</v>
      </c>
      <c r="B21" s="10" t="s">
        <v>90</v>
      </c>
      <c r="C21" s="10" t="s">
        <v>91</v>
      </c>
      <c r="D21" s="14"/>
      <c r="E21" s="14"/>
      <c r="F21" s="14"/>
      <c r="G21" s="14"/>
      <c r="H21" s="14"/>
      <c r="I21" s="14"/>
      <c r="J21" s="14"/>
      <c r="K21" s="14"/>
    </row>
    <row r="22" spans="1:11" ht="45.75" customHeight="1" x14ac:dyDescent="0.25">
      <c r="A22" s="13" t="s">
        <v>92</v>
      </c>
      <c r="B22" s="10" t="s">
        <v>93</v>
      </c>
      <c r="C22" s="10" t="s">
        <v>94</v>
      </c>
      <c r="D22" s="14"/>
      <c r="E22" s="14"/>
      <c r="F22" s="14"/>
      <c r="G22" s="14"/>
      <c r="H22" s="14"/>
      <c r="I22" s="14"/>
      <c r="J22" s="14"/>
      <c r="K22" s="14"/>
    </row>
    <row r="23" spans="1:11" ht="45.75" customHeight="1" x14ac:dyDescent="0.25">
      <c r="A23" s="13" t="s">
        <v>95</v>
      </c>
      <c r="B23" s="10" t="s">
        <v>96</v>
      </c>
      <c r="C23" s="10" t="s">
        <v>97</v>
      </c>
      <c r="D23" s="14"/>
      <c r="E23" s="14"/>
      <c r="F23" s="14"/>
      <c r="G23" s="14"/>
      <c r="H23" s="14"/>
      <c r="I23" s="14"/>
      <c r="J23" s="14"/>
      <c r="K23" s="14"/>
    </row>
    <row r="24" spans="1:11" ht="45.75" customHeight="1" x14ac:dyDescent="0.25">
      <c r="A24" s="13" t="s">
        <v>98</v>
      </c>
      <c r="B24" s="10" t="s">
        <v>99</v>
      </c>
      <c r="C24" s="10" t="s">
        <v>100</v>
      </c>
      <c r="D24" s="14"/>
      <c r="E24" s="14"/>
      <c r="F24" s="14"/>
      <c r="G24" s="14"/>
      <c r="H24" s="14"/>
      <c r="I24" s="14"/>
      <c r="J24" s="14"/>
      <c r="K24" s="14"/>
    </row>
    <row r="25" spans="1:11" ht="19.5" customHeight="1" x14ac:dyDescent="0.25">
      <c r="A25" s="1" t="s">
        <v>101</v>
      </c>
      <c r="B25" s="1"/>
      <c r="C25" s="1"/>
      <c r="D25" s="1"/>
      <c r="E25" s="1"/>
      <c r="F25" s="1"/>
      <c r="G25" s="1"/>
      <c r="H25" s="1"/>
      <c r="I25" s="1"/>
      <c r="J25" s="1"/>
      <c r="K25" s="1"/>
    </row>
    <row r="26" spans="1:11" ht="45.75" customHeight="1" x14ac:dyDescent="0.25">
      <c r="A26" s="13" t="s">
        <v>102</v>
      </c>
      <c r="B26" s="10" t="s">
        <v>103</v>
      </c>
      <c r="C26" s="10" t="s">
        <v>104</v>
      </c>
      <c r="D26" s="14"/>
      <c r="E26" s="14"/>
      <c r="F26" s="14"/>
      <c r="G26" s="14"/>
      <c r="H26" s="14"/>
      <c r="I26" s="14"/>
      <c r="J26" s="14"/>
      <c r="K26" s="14"/>
    </row>
    <row r="27" spans="1:11" ht="45.75" customHeight="1" x14ac:dyDescent="0.25">
      <c r="A27" s="13" t="s">
        <v>105</v>
      </c>
      <c r="B27" s="10" t="s">
        <v>106</v>
      </c>
      <c r="C27" s="10" t="s">
        <v>107</v>
      </c>
      <c r="D27" s="14"/>
      <c r="E27" s="14"/>
      <c r="F27" s="14"/>
      <c r="G27" s="14"/>
      <c r="H27" s="14"/>
      <c r="I27" s="14"/>
      <c r="J27" s="14"/>
      <c r="K27" s="14"/>
    </row>
    <row r="28" spans="1:11" ht="45.75" customHeight="1" x14ac:dyDescent="0.25">
      <c r="A28" s="13" t="s">
        <v>108</v>
      </c>
      <c r="B28" s="10" t="s">
        <v>109</v>
      </c>
      <c r="C28" s="10" t="s">
        <v>110</v>
      </c>
      <c r="D28" s="14"/>
      <c r="E28" s="14"/>
      <c r="F28" s="14"/>
      <c r="G28" s="14"/>
      <c r="H28" s="14"/>
      <c r="I28" s="14"/>
      <c r="J28" s="14"/>
      <c r="K28" s="14"/>
    </row>
    <row r="29" spans="1:11" ht="45.75" customHeight="1" x14ac:dyDescent="0.25">
      <c r="A29" s="13" t="s">
        <v>111</v>
      </c>
      <c r="B29" s="10" t="s">
        <v>112</v>
      </c>
      <c r="C29" s="10" t="s">
        <v>113</v>
      </c>
      <c r="D29" s="14"/>
      <c r="E29" s="14"/>
      <c r="F29" s="14"/>
      <c r="G29" s="14"/>
      <c r="H29" s="14"/>
      <c r="I29" s="14"/>
      <c r="J29" s="14"/>
      <c r="K29" s="14"/>
    </row>
  </sheetData>
  <mergeCells count="5">
    <mergeCell ref="A1:K1"/>
    <mergeCell ref="A4:K4"/>
    <mergeCell ref="A10:K10"/>
    <mergeCell ref="A19:K19"/>
    <mergeCell ref="A25:K25"/>
  </mergeCells>
  <dataValidations count="3">
    <dataValidation type="list" allowBlank="1" sqref="D4:D29" xr:uid="{00000000-0002-0000-0100-000000000000}">
      <formula1>"Conformant,Minor gap,Major gap,Not started,Not applicable"</formula1>
      <formula2>0</formula2>
    </dataValidation>
    <dataValidation type="list" allowBlank="1" sqref="H4:H29" xr:uid="{00000000-0002-0000-0100-000001000000}">
      <formula1>"High,Medium,Low"</formula1>
      <formula2>0</formula2>
    </dataValidation>
    <dataValidation type="list" allowBlank="1" sqref="K4:K29" xr:uid="{00000000-0002-0000-0100-000002000000}">
      <formula1>"Not started,In progress,Complete"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showGridLines="0" zoomScaleNormal="100" workbookViewId="0"/>
  </sheetViews>
  <sheetFormatPr defaultColWidth="8.7109375" defaultRowHeight="15" x14ac:dyDescent="0.25"/>
  <cols>
    <col min="1" max="1" width="30" customWidth="1"/>
    <col min="2" max="2" width="12" customWidth="1"/>
  </cols>
  <sheetData>
    <row r="1" spans="1:2" ht="20.25" x14ac:dyDescent="0.3">
      <c r="A1" s="4" t="s">
        <v>114</v>
      </c>
    </row>
    <row r="2" spans="1:2" x14ac:dyDescent="0.25">
      <c r="A2" s="5" t="s">
        <v>115</v>
      </c>
    </row>
    <row r="4" spans="1:2" x14ac:dyDescent="0.25">
      <c r="A4" s="15" t="s">
        <v>23</v>
      </c>
      <c r="B4" s="15" t="s">
        <v>116</v>
      </c>
    </row>
    <row r="5" spans="1:2" x14ac:dyDescent="0.25">
      <c r="A5" s="16" t="s">
        <v>12</v>
      </c>
      <c r="B5" s="17">
        <f>COUNTIF('Gap Analysis'!D4:D29,"Conformant")</f>
        <v>0</v>
      </c>
    </row>
    <row r="6" spans="1:2" x14ac:dyDescent="0.25">
      <c r="A6" s="16" t="s">
        <v>14</v>
      </c>
      <c r="B6" s="17">
        <f>COUNTIF('Gap Analysis'!D4:D29,"Minor gap")</f>
        <v>0</v>
      </c>
    </row>
    <row r="7" spans="1:2" x14ac:dyDescent="0.25">
      <c r="A7" s="16" t="s">
        <v>16</v>
      </c>
      <c r="B7" s="17">
        <f>COUNTIF('Gap Analysis'!D4:D29,"Major gap")</f>
        <v>0</v>
      </c>
    </row>
    <row r="8" spans="1:2" x14ac:dyDescent="0.25">
      <c r="A8" s="16" t="s">
        <v>18</v>
      </c>
      <c r="B8" s="17">
        <f>COUNTIF('Gap Analysis'!D4:D29,"Not started")</f>
        <v>0</v>
      </c>
    </row>
    <row r="9" spans="1:2" x14ac:dyDescent="0.25">
      <c r="A9" s="16" t="s">
        <v>20</v>
      </c>
      <c r="B9" s="17">
        <f>COUNTIF('Gap Analysis'!D4:D29,"Not applicable")</f>
        <v>0</v>
      </c>
    </row>
    <row r="10" spans="1:2" x14ac:dyDescent="0.25">
      <c r="A10" s="18" t="s">
        <v>117</v>
      </c>
      <c r="B10" s="19">
        <f>SUM(B5:B9)</f>
        <v>0</v>
      </c>
    </row>
    <row r="12" spans="1:2" x14ac:dyDescent="0.25">
      <c r="A12" s="20" t="s">
        <v>118</v>
      </c>
      <c r="B12" s="21">
        <f>IFERROR(B5/(B5+B6+B7+B8),0)</f>
        <v>0</v>
      </c>
    </row>
  </sheetData>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showGridLines="0" zoomScaleNormal="100" workbookViewId="0">
      <pane ySplit="4" topLeftCell="A5" activePane="bottomLeft" state="frozen"/>
      <selection pane="bottomLeft"/>
    </sheetView>
  </sheetViews>
  <sheetFormatPr defaultColWidth="8.7109375" defaultRowHeight="15" x14ac:dyDescent="0.25"/>
  <cols>
    <col min="1" max="1" width="10" customWidth="1"/>
    <col min="2" max="2" width="11" customWidth="1"/>
    <col min="3" max="3" width="40" customWidth="1"/>
    <col min="4" max="4" width="10" customWidth="1"/>
    <col min="5" max="5" width="16" customWidth="1"/>
    <col min="6" max="8" width="14" customWidth="1"/>
    <col min="9" max="9" width="30" customWidth="1"/>
  </cols>
  <sheetData>
    <row r="1" spans="1:9" ht="20.25" x14ac:dyDescent="0.3">
      <c r="A1" s="2" t="s">
        <v>119</v>
      </c>
      <c r="B1" s="2"/>
      <c r="C1" s="2"/>
      <c r="D1" s="2"/>
      <c r="E1" s="2"/>
      <c r="F1" s="2"/>
      <c r="G1" s="2"/>
      <c r="H1" s="2"/>
      <c r="I1" s="2"/>
    </row>
    <row r="2" spans="1:9" x14ac:dyDescent="0.25">
      <c r="A2" s="5" t="s">
        <v>120</v>
      </c>
    </row>
    <row r="4" spans="1:9" ht="30" customHeight="1" x14ac:dyDescent="0.25">
      <c r="A4" s="11" t="s">
        <v>121</v>
      </c>
      <c r="B4" s="11" t="s">
        <v>122</v>
      </c>
      <c r="C4" s="11" t="s">
        <v>123</v>
      </c>
      <c r="D4" s="11" t="s">
        <v>27</v>
      </c>
      <c r="E4" s="11" t="s">
        <v>28</v>
      </c>
      <c r="F4" s="11" t="s">
        <v>29</v>
      </c>
      <c r="G4" s="11" t="s">
        <v>30</v>
      </c>
      <c r="H4" s="11" t="s">
        <v>124</v>
      </c>
      <c r="I4" s="11" t="s">
        <v>125</v>
      </c>
    </row>
    <row r="5" spans="1:9" ht="25.5" customHeight="1" x14ac:dyDescent="0.25">
      <c r="A5" s="10" t="s">
        <v>126</v>
      </c>
      <c r="B5" s="14"/>
      <c r="C5" s="14"/>
      <c r="D5" s="14"/>
      <c r="E5" s="14"/>
      <c r="F5" s="14"/>
      <c r="G5" s="14"/>
      <c r="H5" s="14"/>
      <c r="I5" s="14"/>
    </row>
    <row r="6" spans="1:9" ht="25.5" customHeight="1" x14ac:dyDescent="0.25">
      <c r="A6" s="10" t="s">
        <v>127</v>
      </c>
      <c r="B6" s="14"/>
      <c r="C6" s="14"/>
      <c r="D6" s="14"/>
      <c r="E6" s="14"/>
      <c r="F6" s="14"/>
      <c r="G6" s="14"/>
      <c r="H6" s="14"/>
      <c r="I6" s="14"/>
    </row>
    <row r="7" spans="1:9" ht="25.5" customHeight="1" x14ac:dyDescent="0.25">
      <c r="A7" s="10" t="s">
        <v>128</v>
      </c>
      <c r="B7" s="14"/>
      <c r="C7" s="14"/>
      <c r="D7" s="14"/>
      <c r="E7" s="14"/>
      <c r="F7" s="14"/>
      <c r="G7" s="14"/>
      <c r="H7" s="14"/>
      <c r="I7" s="14"/>
    </row>
    <row r="8" spans="1:9" ht="25.5" customHeight="1" x14ac:dyDescent="0.25">
      <c r="A8" s="10" t="s">
        <v>129</v>
      </c>
      <c r="B8" s="14"/>
      <c r="C8" s="14"/>
      <c r="D8" s="14"/>
      <c r="E8" s="14"/>
      <c r="F8" s="14"/>
      <c r="G8" s="14"/>
      <c r="H8" s="14"/>
      <c r="I8" s="14"/>
    </row>
    <row r="9" spans="1:9" ht="25.5" customHeight="1" x14ac:dyDescent="0.25">
      <c r="A9" s="10" t="s">
        <v>130</v>
      </c>
      <c r="B9" s="14"/>
      <c r="C9" s="14"/>
      <c r="D9" s="14"/>
      <c r="E9" s="14"/>
      <c r="F9" s="14"/>
      <c r="G9" s="14"/>
      <c r="H9" s="14"/>
      <c r="I9" s="14"/>
    </row>
    <row r="10" spans="1:9" ht="25.5" customHeight="1" x14ac:dyDescent="0.25">
      <c r="A10" s="10" t="s">
        <v>131</v>
      </c>
      <c r="B10" s="14"/>
      <c r="C10" s="14"/>
      <c r="D10" s="14"/>
      <c r="E10" s="14"/>
      <c r="F10" s="14"/>
      <c r="G10" s="14"/>
      <c r="H10" s="14"/>
      <c r="I10" s="14"/>
    </row>
    <row r="11" spans="1:9" ht="25.5" customHeight="1" x14ac:dyDescent="0.25">
      <c r="A11" s="10" t="s">
        <v>132</v>
      </c>
      <c r="B11" s="14"/>
      <c r="C11" s="14"/>
      <c r="D11" s="14"/>
      <c r="E11" s="14"/>
      <c r="F11" s="14"/>
      <c r="G11" s="14"/>
      <c r="H11" s="14"/>
      <c r="I11" s="14"/>
    </row>
    <row r="12" spans="1:9" ht="25.5" customHeight="1" x14ac:dyDescent="0.25">
      <c r="A12" s="10" t="s">
        <v>133</v>
      </c>
      <c r="B12" s="14"/>
      <c r="C12" s="14"/>
      <c r="D12" s="14"/>
      <c r="E12" s="14"/>
      <c r="F12" s="14"/>
      <c r="G12" s="14"/>
      <c r="H12" s="14"/>
      <c r="I12" s="14"/>
    </row>
    <row r="13" spans="1:9" ht="25.5" customHeight="1" x14ac:dyDescent="0.25">
      <c r="A13" s="10" t="s">
        <v>134</v>
      </c>
      <c r="B13" s="14"/>
      <c r="C13" s="14"/>
      <c r="D13" s="14"/>
      <c r="E13" s="14"/>
      <c r="F13" s="14"/>
      <c r="G13" s="14"/>
      <c r="H13" s="14"/>
      <c r="I13" s="14"/>
    </row>
    <row r="14" spans="1:9" ht="25.5" customHeight="1" x14ac:dyDescent="0.25">
      <c r="A14" s="10" t="s">
        <v>135</v>
      </c>
      <c r="B14" s="14"/>
      <c r="C14" s="14"/>
      <c r="D14" s="14"/>
      <c r="E14" s="14"/>
      <c r="F14" s="14"/>
      <c r="G14" s="14"/>
      <c r="H14" s="14"/>
      <c r="I14" s="14"/>
    </row>
    <row r="15" spans="1:9" ht="25.5" customHeight="1" x14ac:dyDescent="0.25">
      <c r="A15" s="10" t="s">
        <v>136</v>
      </c>
      <c r="B15" s="14"/>
      <c r="C15" s="14"/>
      <c r="D15" s="14"/>
      <c r="E15" s="14"/>
      <c r="F15" s="14"/>
      <c r="G15" s="14"/>
      <c r="H15" s="14"/>
      <c r="I15" s="14"/>
    </row>
    <row r="16" spans="1:9" ht="25.5" customHeight="1" x14ac:dyDescent="0.25">
      <c r="A16" s="10" t="s">
        <v>137</v>
      </c>
      <c r="B16" s="14"/>
      <c r="C16" s="14"/>
      <c r="D16" s="14"/>
      <c r="E16" s="14"/>
      <c r="F16" s="14"/>
      <c r="G16" s="14"/>
      <c r="H16" s="14"/>
      <c r="I16" s="14"/>
    </row>
    <row r="17" spans="1:9" ht="25.5" customHeight="1" x14ac:dyDescent="0.25">
      <c r="A17" s="10" t="s">
        <v>138</v>
      </c>
      <c r="B17" s="14"/>
      <c r="C17" s="14"/>
      <c r="D17" s="14"/>
      <c r="E17" s="14"/>
      <c r="F17" s="14"/>
      <c r="G17" s="14"/>
      <c r="H17" s="14"/>
      <c r="I17" s="14"/>
    </row>
    <row r="18" spans="1:9" ht="25.5" customHeight="1" x14ac:dyDescent="0.25">
      <c r="A18" s="10" t="s">
        <v>139</v>
      </c>
      <c r="B18" s="14"/>
      <c r="C18" s="14"/>
      <c r="D18" s="14"/>
      <c r="E18" s="14"/>
      <c r="F18" s="14"/>
      <c r="G18" s="14"/>
      <c r="H18" s="14"/>
      <c r="I18" s="14"/>
    </row>
    <row r="19" spans="1:9" ht="25.5" customHeight="1" x14ac:dyDescent="0.25">
      <c r="A19" s="10" t="s">
        <v>140</v>
      </c>
      <c r="B19" s="14"/>
      <c r="C19" s="14"/>
      <c r="D19" s="14"/>
      <c r="E19" s="14"/>
      <c r="F19" s="14"/>
      <c r="G19" s="14"/>
      <c r="H19" s="14"/>
      <c r="I19" s="14"/>
    </row>
    <row r="20" spans="1:9" ht="25.5" customHeight="1" x14ac:dyDescent="0.25">
      <c r="A20" s="10" t="s">
        <v>141</v>
      </c>
      <c r="B20" s="14"/>
      <c r="C20" s="14"/>
      <c r="D20" s="14"/>
      <c r="E20" s="14"/>
      <c r="F20" s="14"/>
      <c r="G20" s="14"/>
      <c r="H20" s="14"/>
      <c r="I20" s="14"/>
    </row>
    <row r="21" spans="1:9" ht="25.5" customHeight="1" x14ac:dyDescent="0.25">
      <c r="A21" s="10" t="s">
        <v>142</v>
      </c>
      <c r="B21" s="14"/>
      <c r="C21" s="14"/>
      <c r="D21" s="14"/>
      <c r="E21" s="14"/>
      <c r="F21" s="14"/>
      <c r="G21" s="14"/>
      <c r="H21" s="14"/>
      <c r="I21" s="14"/>
    </row>
    <row r="22" spans="1:9" ht="25.5" customHeight="1" x14ac:dyDescent="0.25">
      <c r="A22" s="10" t="s">
        <v>143</v>
      </c>
      <c r="B22" s="14"/>
      <c r="C22" s="14"/>
      <c r="D22" s="14"/>
      <c r="E22" s="14"/>
      <c r="F22" s="14"/>
      <c r="G22" s="14"/>
      <c r="H22" s="14"/>
      <c r="I22" s="14"/>
    </row>
    <row r="23" spans="1:9" ht="25.5" customHeight="1" x14ac:dyDescent="0.25">
      <c r="A23" s="10" t="s">
        <v>144</v>
      </c>
      <c r="B23" s="14"/>
      <c r="C23" s="14"/>
      <c r="D23" s="14"/>
      <c r="E23" s="14"/>
      <c r="F23" s="14"/>
      <c r="G23" s="14"/>
      <c r="H23" s="14"/>
      <c r="I23" s="14"/>
    </row>
    <row r="24" spans="1:9" ht="25.5" customHeight="1" x14ac:dyDescent="0.25">
      <c r="A24" s="10" t="s">
        <v>145</v>
      </c>
      <c r="B24" s="14"/>
      <c r="C24" s="14"/>
      <c r="D24" s="14"/>
      <c r="E24" s="14"/>
      <c r="F24" s="14"/>
      <c r="G24" s="14"/>
      <c r="H24" s="14"/>
      <c r="I24" s="14"/>
    </row>
    <row r="25" spans="1:9" ht="25.5" customHeight="1" x14ac:dyDescent="0.25">
      <c r="A25" s="10" t="s">
        <v>146</v>
      </c>
      <c r="B25" s="14"/>
      <c r="C25" s="14"/>
      <c r="D25" s="14"/>
      <c r="E25" s="14"/>
      <c r="F25" s="14"/>
      <c r="G25" s="14"/>
      <c r="H25" s="14"/>
      <c r="I25" s="14"/>
    </row>
    <row r="26" spans="1:9" ht="25.5" customHeight="1" x14ac:dyDescent="0.25">
      <c r="A26" s="10" t="s">
        <v>147</v>
      </c>
      <c r="B26" s="14"/>
      <c r="C26" s="14"/>
      <c r="D26" s="14"/>
      <c r="E26" s="14"/>
      <c r="F26" s="14"/>
      <c r="G26" s="14"/>
      <c r="H26" s="14"/>
      <c r="I26" s="14"/>
    </row>
    <row r="27" spans="1:9" ht="25.5" customHeight="1" x14ac:dyDescent="0.25">
      <c r="A27" s="10" t="s">
        <v>148</v>
      </c>
      <c r="B27" s="14"/>
      <c r="C27" s="14"/>
      <c r="D27" s="14"/>
      <c r="E27" s="14"/>
      <c r="F27" s="14"/>
      <c r="G27" s="14"/>
      <c r="H27" s="14"/>
      <c r="I27" s="14"/>
    </row>
    <row r="28" spans="1:9" ht="25.5" customHeight="1" x14ac:dyDescent="0.25">
      <c r="A28" s="10" t="s">
        <v>149</v>
      </c>
      <c r="B28" s="14"/>
      <c r="C28" s="14"/>
      <c r="D28" s="14"/>
      <c r="E28" s="14"/>
      <c r="F28" s="14"/>
      <c r="G28" s="14"/>
      <c r="H28" s="14"/>
      <c r="I28" s="14"/>
    </row>
    <row r="29" spans="1:9" ht="25.5" customHeight="1" x14ac:dyDescent="0.25">
      <c r="A29" s="10" t="s">
        <v>150</v>
      </c>
      <c r="B29" s="14"/>
      <c r="C29" s="14"/>
      <c r="D29" s="14"/>
      <c r="E29" s="14"/>
      <c r="F29" s="14"/>
      <c r="G29" s="14"/>
      <c r="H29" s="14"/>
      <c r="I29" s="14"/>
    </row>
  </sheetData>
  <mergeCells count="1">
    <mergeCell ref="A1:I1"/>
  </mergeCells>
  <dataValidations count="2">
    <dataValidation type="list" allowBlank="1" sqref="D5:D29" xr:uid="{00000000-0002-0000-0300-000000000000}">
      <formula1>"High,Medium,Low"</formula1>
      <formula2>0</formula2>
    </dataValidation>
    <dataValidation type="list" allowBlank="1" sqref="G5:G29" xr:uid="{00000000-0002-0000-0300-000001000000}">
      <formula1>"Not started,In progress,Complete"</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6"/>
  <sheetViews>
    <sheetView showGridLines="0" zoomScaleNormal="100" workbookViewId="0">
      <pane ySplit="4" topLeftCell="A5" activePane="bottomLeft" state="frozen"/>
      <selection pane="bottomLeft"/>
    </sheetView>
  </sheetViews>
  <sheetFormatPr defaultColWidth="8.7109375" defaultRowHeight="15" x14ac:dyDescent="0.25"/>
  <cols>
    <col min="1" max="1" width="6" customWidth="1"/>
    <col min="2" max="2" width="26" customWidth="1"/>
    <col min="3" max="3" width="40" customWidth="1"/>
    <col min="4" max="4" width="12" customWidth="1"/>
    <col min="5" max="5" width="32" customWidth="1"/>
    <col min="6" max="6" width="14" customWidth="1"/>
  </cols>
  <sheetData>
    <row r="1" spans="1:6" ht="20.25" x14ac:dyDescent="0.3">
      <c r="A1" s="2" t="s">
        <v>151</v>
      </c>
      <c r="B1" s="2"/>
      <c r="C1" s="2"/>
      <c r="D1" s="2"/>
      <c r="E1" s="2"/>
      <c r="F1" s="2"/>
    </row>
    <row r="2" spans="1:6" x14ac:dyDescent="0.25">
      <c r="A2" s="5" t="s">
        <v>152</v>
      </c>
    </row>
    <row r="4" spans="1:6" ht="25.5" customHeight="1" x14ac:dyDescent="0.25">
      <c r="A4" s="11" t="s">
        <v>22</v>
      </c>
      <c r="B4" s="11" t="s">
        <v>153</v>
      </c>
      <c r="C4" s="11" t="s">
        <v>154</v>
      </c>
      <c r="D4" s="11" t="s">
        <v>155</v>
      </c>
      <c r="E4" s="11" t="s">
        <v>156</v>
      </c>
      <c r="F4" s="11" t="s">
        <v>157</v>
      </c>
    </row>
    <row r="5" spans="1:6" ht="25.5" customHeight="1" x14ac:dyDescent="0.25">
      <c r="A5" s="13" t="s">
        <v>46</v>
      </c>
      <c r="B5" s="10" t="s">
        <v>47</v>
      </c>
      <c r="C5" s="10" t="s">
        <v>158</v>
      </c>
      <c r="D5" s="14"/>
      <c r="E5" s="14"/>
      <c r="F5" s="14"/>
    </row>
    <row r="6" spans="1:6" ht="25.5" customHeight="1" x14ac:dyDescent="0.25">
      <c r="A6" s="13" t="s">
        <v>49</v>
      </c>
      <c r="B6" s="10" t="s">
        <v>50</v>
      </c>
      <c r="C6" s="10" t="s">
        <v>159</v>
      </c>
      <c r="D6" s="14"/>
      <c r="E6" s="14"/>
      <c r="F6" s="14"/>
    </row>
    <row r="7" spans="1:6" ht="25.5" customHeight="1" x14ac:dyDescent="0.25">
      <c r="A7" s="13" t="s">
        <v>52</v>
      </c>
      <c r="B7" s="10" t="s">
        <v>53</v>
      </c>
      <c r="C7" s="10" t="s">
        <v>160</v>
      </c>
      <c r="D7" s="14"/>
      <c r="E7" s="14"/>
      <c r="F7" s="14"/>
    </row>
    <row r="8" spans="1:6" ht="25.5" customHeight="1" x14ac:dyDescent="0.25">
      <c r="A8" s="13" t="s">
        <v>55</v>
      </c>
      <c r="B8" s="10" t="s">
        <v>56</v>
      </c>
      <c r="C8" s="10" t="s">
        <v>161</v>
      </c>
      <c r="D8" s="14"/>
      <c r="E8" s="14"/>
      <c r="F8" s="14"/>
    </row>
    <row r="9" spans="1:6" ht="25.5" customHeight="1" x14ac:dyDescent="0.25">
      <c r="A9" s="13" t="s">
        <v>58</v>
      </c>
      <c r="B9" s="10" t="s">
        <v>59</v>
      </c>
      <c r="C9" s="10" t="s">
        <v>162</v>
      </c>
      <c r="D9" s="14"/>
      <c r="E9" s="14"/>
      <c r="F9" s="14"/>
    </row>
    <row r="10" spans="1:6" ht="25.5" customHeight="1" x14ac:dyDescent="0.25">
      <c r="A10" s="13" t="s">
        <v>62</v>
      </c>
      <c r="B10" s="10" t="s">
        <v>63</v>
      </c>
      <c r="C10" s="10" t="s">
        <v>163</v>
      </c>
      <c r="D10" s="14"/>
      <c r="E10" s="14"/>
      <c r="F10" s="14"/>
    </row>
    <row r="11" spans="1:6" ht="25.5" customHeight="1" x14ac:dyDescent="0.25">
      <c r="A11" s="13" t="s">
        <v>65</v>
      </c>
      <c r="B11" s="10" t="s">
        <v>66</v>
      </c>
      <c r="C11" s="10" t="s">
        <v>164</v>
      </c>
      <c r="D11" s="14"/>
      <c r="E11" s="14"/>
      <c r="F11" s="14"/>
    </row>
    <row r="12" spans="1:6" ht="25.5" customHeight="1" x14ac:dyDescent="0.25">
      <c r="A12" s="13" t="s">
        <v>68</v>
      </c>
      <c r="B12" s="10" t="s">
        <v>69</v>
      </c>
      <c r="C12" s="10" t="s">
        <v>165</v>
      </c>
      <c r="D12" s="14"/>
      <c r="E12" s="14"/>
      <c r="F12" s="14"/>
    </row>
    <row r="13" spans="1:6" ht="25.5" customHeight="1" x14ac:dyDescent="0.25">
      <c r="A13" s="13" t="s">
        <v>71</v>
      </c>
      <c r="B13" s="10" t="s">
        <v>72</v>
      </c>
      <c r="C13" s="10" t="s">
        <v>166</v>
      </c>
      <c r="D13" s="14"/>
      <c r="E13" s="14"/>
      <c r="F13" s="14"/>
    </row>
    <row r="14" spans="1:6" ht="25.5" customHeight="1" x14ac:dyDescent="0.25">
      <c r="A14" s="13" t="s">
        <v>74</v>
      </c>
      <c r="B14" s="10" t="s">
        <v>75</v>
      </c>
      <c r="C14" s="10" t="s">
        <v>167</v>
      </c>
      <c r="D14" s="14"/>
      <c r="E14" s="14"/>
      <c r="F14" s="14"/>
    </row>
    <row r="15" spans="1:6" ht="25.5" customHeight="1" x14ac:dyDescent="0.25">
      <c r="A15" s="13" t="s">
        <v>31</v>
      </c>
      <c r="B15" s="10" t="s">
        <v>77</v>
      </c>
      <c r="C15" s="10" t="s">
        <v>168</v>
      </c>
      <c r="D15" s="14"/>
      <c r="E15" s="14"/>
      <c r="F15" s="14"/>
    </row>
    <row r="16" spans="1:6" ht="25.5" customHeight="1" x14ac:dyDescent="0.25">
      <c r="A16" s="13" t="s">
        <v>79</v>
      </c>
      <c r="B16" s="10" t="s">
        <v>80</v>
      </c>
      <c r="C16" s="10" t="s">
        <v>169</v>
      </c>
      <c r="D16" s="14"/>
      <c r="E16" s="14"/>
      <c r="F16" s="14"/>
    </row>
    <row r="17" spans="1:6" ht="25.5" customHeight="1" x14ac:dyDescent="0.25">
      <c r="A17" s="13" t="s">
        <v>82</v>
      </c>
      <c r="B17" s="10" t="s">
        <v>83</v>
      </c>
      <c r="C17" s="10" t="s">
        <v>170</v>
      </c>
      <c r="D17" s="14"/>
      <c r="E17" s="14"/>
      <c r="F17" s="14"/>
    </row>
    <row r="18" spans="1:6" ht="25.5" customHeight="1" x14ac:dyDescent="0.25">
      <c r="A18" s="13" t="s">
        <v>86</v>
      </c>
      <c r="B18" s="10" t="s">
        <v>87</v>
      </c>
      <c r="C18" s="10" t="s">
        <v>171</v>
      </c>
      <c r="D18" s="14"/>
      <c r="E18" s="14"/>
      <c r="F18" s="14"/>
    </row>
    <row r="19" spans="1:6" ht="25.5" customHeight="1" x14ac:dyDescent="0.25">
      <c r="A19" s="13" t="s">
        <v>89</v>
      </c>
      <c r="B19" s="10" t="s">
        <v>90</v>
      </c>
      <c r="C19" s="10" t="s">
        <v>172</v>
      </c>
      <c r="D19" s="14"/>
      <c r="E19" s="14"/>
      <c r="F19" s="14"/>
    </row>
    <row r="20" spans="1:6" ht="25.5" customHeight="1" x14ac:dyDescent="0.25">
      <c r="A20" s="13" t="s">
        <v>92</v>
      </c>
      <c r="B20" s="10" t="s">
        <v>93</v>
      </c>
      <c r="C20" s="10" t="s">
        <v>173</v>
      </c>
      <c r="D20" s="14"/>
      <c r="E20" s="14"/>
      <c r="F20" s="14"/>
    </row>
    <row r="21" spans="1:6" ht="25.5" customHeight="1" x14ac:dyDescent="0.25">
      <c r="A21" s="13" t="s">
        <v>95</v>
      </c>
      <c r="B21" s="10" t="s">
        <v>96</v>
      </c>
      <c r="C21" s="10" t="s">
        <v>174</v>
      </c>
      <c r="D21" s="14"/>
      <c r="E21" s="14"/>
      <c r="F21" s="14"/>
    </row>
    <row r="22" spans="1:6" ht="25.5" customHeight="1" x14ac:dyDescent="0.25">
      <c r="A22" s="13" t="s">
        <v>98</v>
      </c>
      <c r="B22" s="10" t="s">
        <v>99</v>
      </c>
      <c r="C22" s="10" t="s">
        <v>175</v>
      </c>
      <c r="D22" s="14"/>
      <c r="E22" s="14"/>
      <c r="F22" s="14"/>
    </row>
    <row r="23" spans="1:6" ht="25.5" customHeight="1" x14ac:dyDescent="0.25">
      <c r="A23" s="13" t="s">
        <v>102</v>
      </c>
      <c r="B23" s="10" t="s">
        <v>103</v>
      </c>
      <c r="C23" s="10" t="s">
        <v>176</v>
      </c>
      <c r="D23" s="14"/>
      <c r="E23" s="14"/>
      <c r="F23" s="14"/>
    </row>
    <row r="24" spans="1:6" ht="25.5" customHeight="1" x14ac:dyDescent="0.25">
      <c r="A24" s="13" t="s">
        <v>105</v>
      </c>
      <c r="B24" s="10" t="s">
        <v>106</v>
      </c>
      <c r="C24" s="10" t="s">
        <v>177</v>
      </c>
      <c r="D24" s="14"/>
      <c r="E24" s="14"/>
      <c r="F24" s="14"/>
    </row>
    <row r="25" spans="1:6" ht="25.5" customHeight="1" x14ac:dyDescent="0.25">
      <c r="A25" s="13" t="s">
        <v>108</v>
      </c>
      <c r="B25" s="10" t="s">
        <v>109</v>
      </c>
      <c r="C25" s="10" t="s">
        <v>178</v>
      </c>
      <c r="D25" s="14"/>
      <c r="E25" s="14"/>
      <c r="F25" s="14"/>
    </row>
    <row r="26" spans="1:6" ht="25.5" customHeight="1" x14ac:dyDescent="0.25">
      <c r="A26" s="13" t="s">
        <v>111</v>
      </c>
      <c r="B26" s="10" t="s">
        <v>112</v>
      </c>
      <c r="C26" s="10" t="s">
        <v>179</v>
      </c>
      <c r="D26" s="14"/>
      <c r="E26" s="14"/>
      <c r="F26" s="14"/>
    </row>
  </sheetData>
  <mergeCells count="1">
    <mergeCell ref="A1:F1"/>
  </mergeCells>
  <dataValidations count="1">
    <dataValidation type="list" allowBlank="1" sqref="D5:D26" xr:uid="{00000000-0002-0000-0400-000000000000}">
      <formula1>"Yes,No,In progress"</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Gap Analysis</vt:lpstr>
      <vt:lpstr>Summary</vt:lpstr>
      <vt:lpstr>Corrective Action Plan</vt:lpstr>
      <vt:lpstr>Evidence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Korina Kamille Dela Cruz</cp:lastModifiedBy>
  <cp:revision>1</cp:revision>
  <dcterms:created xsi:type="dcterms:W3CDTF">2026-07-25T13:05:42Z</dcterms:created>
  <dcterms:modified xsi:type="dcterms:W3CDTF">2026-08-04T02:34:14Z</dcterms:modified>
  <dc:language>en-US</dc:language>
</cp:coreProperties>
</file>